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cfbf2d641072903/Desktop/スイミングダッシュボード/"/>
    </mc:Choice>
  </mc:AlternateContent>
  <xr:revisionPtr revIDLastSave="14" documentId="13_ncr:1_{CBE8A225-3594-412E-B9A9-0CE6028D707E}" xr6:coauthVersionLast="47" xr6:coauthVersionMax="47" xr10:uidLastSave="{F3A5DEF6-D4C9-43EE-BB5A-4E501238CED2}"/>
  <bookViews>
    <workbookView xWindow="3000" yWindow="3000" windowWidth="13716" windowHeight="9960" activeTab="3" xr2:uid="{00000000-000D-0000-FFFF-FFFF00000000}"/>
  </bookViews>
  <sheets>
    <sheet name="バッタ" sheetId="1" r:id="rId1"/>
    <sheet name="バック" sheetId="2" r:id="rId2"/>
    <sheet name="ブレ" sheetId="3" r:id="rId3"/>
    <sheet name="フリー" sheetId="4" r:id="rId4"/>
    <sheet name="メドレー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  <c r="J2" i="4"/>
  <c r="H2" i="4"/>
  <c r="G2" i="4"/>
  <c r="J2" i="2"/>
  <c r="I2" i="2"/>
  <c r="H2" i="2"/>
  <c r="G2" i="2"/>
  <c r="J2" i="1"/>
  <c r="I2" i="1"/>
  <c r="H2" i="1"/>
  <c r="G2" i="1"/>
</calcChain>
</file>

<file path=xl/sharedStrings.xml><?xml version="1.0" encoding="utf-8"?>
<sst xmlns="http://schemas.openxmlformats.org/spreadsheetml/2006/main" count="185" uniqueCount="23">
  <si>
    <t>日付</t>
    <rPh sb="0" eb="2">
      <t>ヒヅケ</t>
    </rPh>
    <phoneticPr fontId="1"/>
  </si>
  <si>
    <t>距離</t>
    <rPh sb="0" eb="2">
      <t>キョリ</t>
    </rPh>
    <phoneticPr fontId="1"/>
  </si>
  <si>
    <t>長水路 or 短水路</t>
    <rPh sb="0" eb="3">
      <t>チョウスイロ</t>
    </rPh>
    <rPh sb="7" eb="10">
      <t>タンスイロ</t>
    </rPh>
    <phoneticPr fontId="1"/>
  </si>
  <si>
    <t>学年</t>
    <rPh sb="0" eb="2">
      <t>ガクネン</t>
    </rPh>
    <phoneticPr fontId="1"/>
  </si>
  <si>
    <t>タイム</t>
    <phoneticPr fontId="1"/>
  </si>
  <si>
    <t>長水路</t>
    <rPh sb="0" eb="3">
      <t>チョウスイロ</t>
    </rPh>
    <phoneticPr fontId="1"/>
  </si>
  <si>
    <t>短水路</t>
    <rPh sb="0" eb="3">
      <t>タンスイロ</t>
    </rPh>
    <phoneticPr fontId="1"/>
  </si>
  <si>
    <t>会場</t>
    <rPh sb="0" eb="2">
      <t>カイジョウ</t>
    </rPh>
    <phoneticPr fontId="1"/>
  </si>
  <si>
    <t>菰野スイミング</t>
    <rPh sb="0" eb="2">
      <t>コモノ</t>
    </rPh>
    <phoneticPr fontId="1"/>
  </si>
  <si>
    <t>鈴鹿</t>
    <rPh sb="0" eb="2">
      <t>スズカ</t>
    </rPh>
    <phoneticPr fontId="1"/>
  </si>
  <si>
    <t>日付</t>
    <phoneticPr fontId="1"/>
  </si>
  <si>
    <t>50m 更新日</t>
    <rPh sb="4" eb="7">
      <t>コウシンビ</t>
    </rPh>
    <phoneticPr fontId="1"/>
  </si>
  <si>
    <t>50m ベストタイム(短水路)</t>
    <rPh sb="11" eb="14">
      <t>タンスイロ</t>
    </rPh>
    <phoneticPr fontId="1"/>
  </si>
  <si>
    <t>50m ベストタイム(長水路)</t>
    <rPh sb="11" eb="12">
      <t>チョウ</t>
    </rPh>
    <rPh sb="12" eb="14">
      <t>スイロ</t>
    </rPh>
    <phoneticPr fontId="1"/>
  </si>
  <si>
    <t>小4</t>
    <rPh sb="0" eb="1">
      <t>ショウ</t>
    </rPh>
    <phoneticPr fontId="1"/>
  </si>
  <si>
    <t>小5</t>
    <rPh sb="0" eb="1">
      <t>ショウ</t>
    </rPh>
    <phoneticPr fontId="1"/>
  </si>
  <si>
    <t>小6</t>
    <rPh sb="0" eb="1">
      <t>ショウ</t>
    </rPh>
    <phoneticPr fontId="1"/>
  </si>
  <si>
    <t>4'02"71</t>
    <phoneticPr fontId="1"/>
  </si>
  <si>
    <t>3'37"53</t>
    <phoneticPr fontId="1"/>
  </si>
  <si>
    <t>3'21"34</t>
    <phoneticPr fontId="1"/>
  </si>
  <si>
    <t>3'14"47</t>
    <phoneticPr fontId="1"/>
  </si>
  <si>
    <t>1'41"11</t>
    <phoneticPr fontId="1"/>
  </si>
  <si>
    <t>4'43"09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</si>
</sst>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0.00_ "/>
    <numFmt numFmtId="178" formatCode="yyyy/m/d;@"/>
  </numFmts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47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workbookViewId="0">
      <selection activeCell="C26" sqref="C26"/>
    </sheetView>
  </sheetViews>
  <sheetFormatPr defaultColWidth="14.8984375" defaultRowHeight="14.4"/>
  <cols>
    <col min="1" max="1" width="15.796875" style="2" bestFit="1" customWidth="1"/>
    <col min="2" max="15" width="14.8984375" style="1"/>
    <col min="16" max="16" width="9.8984375" style="1" customWidth="1"/>
    <col min="17" max="16384" width="14.8984375" style="1"/>
  </cols>
  <sheetData>
    <row r="1" spans="1:12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7</v>
      </c>
      <c r="G1" s="1" t="s">
        <v>12</v>
      </c>
      <c r="H1" s="1" t="s">
        <v>11</v>
      </c>
      <c r="I1" s="1" t="s">
        <v>13</v>
      </c>
      <c r="J1" s="1" t="s">
        <v>11</v>
      </c>
    </row>
    <row r="2" spans="1:12">
      <c r="A2" s="5">
        <v>45823</v>
      </c>
      <c r="B2" s="1" t="s">
        <v>15</v>
      </c>
      <c r="C2" s="1">
        <v>50</v>
      </c>
      <c r="D2" s="1" t="s">
        <v>6</v>
      </c>
      <c r="E2" s="1">
        <v>54.97</v>
      </c>
      <c r="F2" s="1" t="s">
        <v>9</v>
      </c>
      <c r="G2" s="1">
        <f>_xlfn.MINIFS(E:E, C:C, 50, D:D, "短水路")</f>
        <v>44.97</v>
      </c>
      <c r="H2" s="5">
        <f>INDEX(A:A, MATCH(_xlfn.MINIFS(E:E, D:D, "短水路"), E:E, 0))</f>
        <v>46033</v>
      </c>
      <c r="I2" s="1">
        <f>_xlfn.MINIFS(E:E, C:C, 50, D:D, "長水路")</f>
        <v>44.65</v>
      </c>
      <c r="J2" s="5">
        <f>INDEX(A:A, MATCH(_xlfn.MINIFS(E:E, D:D, "長水路"), E:E, 0))</f>
        <v>46075</v>
      </c>
      <c r="L2" s="1" t="s">
        <v>5</v>
      </c>
    </row>
    <row r="3" spans="1:12">
      <c r="A3" s="5">
        <v>45956</v>
      </c>
      <c r="B3" s="1" t="s">
        <v>15</v>
      </c>
      <c r="C3" s="1">
        <v>50</v>
      </c>
      <c r="D3" s="1" t="s">
        <v>5</v>
      </c>
      <c r="E3" s="1">
        <v>48.27</v>
      </c>
      <c r="F3" s="1" t="s">
        <v>9</v>
      </c>
      <c r="G3" s="4"/>
      <c r="L3" s="1" t="s">
        <v>6</v>
      </c>
    </row>
    <row r="4" spans="1:12">
      <c r="A4" s="5">
        <v>46033</v>
      </c>
      <c r="B4" s="1" t="s">
        <v>15</v>
      </c>
      <c r="C4" s="1">
        <v>50</v>
      </c>
      <c r="D4" s="1" t="s">
        <v>6</v>
      </c>
      <c r="E4" s="1">
        <v>44.97</v>
      </c>
      <c r="F4" s="1" t="s">
        <v>9</v>
      </c>
    </row>
    <row r="5" spans="1:12">
      <c r="A5" s="5">
        <v>46075</v>
      </c>
      <c r="B5" s="1" t="s">
        <v>15</v>
      </c>
      <c r="C5" s="1">
        <v>50</v>
      </c>
      <c r="D5" s="1" t="s">
        <v>5</v>
      </c>
      <c r="E5" s="1">
        <v>44.65</v>
      </c>
      <c r="F5" s="1" t="s">
        <v>9</v>
      </c>
      <c r="L5" s="1" t="s">
        <v>8</v>
      </c>
    </row>
    <row r="6" spans="1:12">
      <c r="A6" s="5">
        <v>46130</v>
      </c>
      <c r="B6" s="1" t="s">
        <v>16</v>
      </c>
      <c r="C6" s="1">
        <v>50</v>
      </c>
      <c r="D6" s="1" t="s">
        <v>6</v>
      </c>
      <c r="E6" s="1">
        <v>47.17</v>
      </c>
      <c r="F6" s="1" t="s">
        <v>8</v>
      </c>
      <c r="L6" s="1" t="s">
        <v>9</v>
      </c>
    </row>
  </sheetData>
  <phoneticPr fontId="1"/>
  <dataValidations count="5">
    <dataValidation type="list" allowBlank="1" showInputMessage="1" showErrorMessage="1" sqref="D7:D178" xr:uid="{03AD88EA-36C1-45C0-A9CE-DBA5BFECCA3E}">
      <formula1>#REF!</formula1>
    </dataValidation>
    <dataValidation type="list" allowBlank="1" showInputMessage="1" showErrorMessage="1" sqref="F7:F132" xr:uid="{268CBE0C-7D55-4FB8-ACBF-BBA3B3FAEA6E}">
      <formula1>$O$3:$O$3</formula1>
    </dataValidation>
    <dataValidation type="list" allowBlank="1" showInputMessage="1" showErrorMessage="1" sqref="K7:K132" xr:uid="{87A969D3-1700-4137-9ABC-8D4809C4D180}">
      <formula1>$L$3:$L$3</formula1>
    </dataValidation>
    <dataValidation type="list" allowBlank="1" showInputMessage="1" showErrorMessage="1" sqref="F2:F6" xr:uid="{1B462C02-F4B6-484D-8FEB-384E30F751F8}">
      <formula1>$L$5:$L$6</formula1>
    </dataValidation>
    <dataValidation type="list" allowBlank="1" showInputMessage="1" showErrorMessage="1" sqref="D2:D6" xr:uid="{FAE8B8ED-751C-4999-8C44-16663CAAE579}">
      <formula1>$L$2:$L$3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B4EB9-ACBB-4A34-894A-795C575CA3CA}">
  <dimension ref="A1:P9"/>
  <sheetViews>
    <sheetView workbookViewId="0">
      <selection activeCell="B11" sqref="B11"/>
    </sheetView>
  </sheetViews>
  <sheetFormatPr defaultColWidth="14.8984375" defaultRowHeight="14.4"/>
  <cols>
    <col min="1" max="1" width="15.796875" style="2" bestFit="1" customWidth="1"/>
    <col min="2" max="4" width="14.8984375" style="1"/>
    <col min="5" max="5" width="14.8984375" style="3"/>
    <col min="6" max="6" width="14.8984375" style="1"/>
    <col min="7" max="7" width="22.5" style="1" customWidth="1"/>
    <col min="8" max="8" width="18.5" style="1" customWidth="1"/>
    <col min="9" max="16" width="14.8984375" style="1"/>
    <col min="17" max="17" width="9.8984375" style="1" customWidth="1"/>
    <col min="18" max="16384" width="14.8984375" style="1"/>
  </cols>
  <sheetData>
    <row r="1" spans="1:16">
      <c r="A1" s="1" t="s">
        <v>10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7</v>
      </c>
      <c r="G1" s="1" t="s">
        <v>12</v>
      </c>
      <c r="H1" s="1" t="s">
        <v>11</v>
      </c>
      <c r="I1" s="1" t="s">
        <v>13</v>
      </c>
      <c r="J1" s="1" t="s">
        <v>11</v>
      </c>
    </row>
    <row r="2" spans="1:16">
      <c r="A2" s="5">
        <v>45788</v>
      </c>
      <c r="B2" s="1" t="s">
        <v>15</v>
      </c>
      <c r="C2" s="1">
        <v>50</v>
      </c>
      <c r="D2" s="1" t="s">
        <v>6</v>
      </c>
      <c r="E2" s="3">
        <v>54.97</v>
      </c>
      <c r="F2" s="1" t="s">
        <v>9</v>
      </c>
      <c r="G2" s="1">
        <f>_xlfn.MINIFS(E:E, C:C, 50, D:D, "短水路")</f>
        <v>45.97</v>
      </c>
      <c r="H2" s="5">
        <f>INDEX(A:A, MATCH(_xlfn.MINIFS(E:E, D:D, "短水路"), E:E, 0))</f>
        <v>46130</v>
      </c>
      <c r="I2" s="1">
        <f>_xlfn.MINIFS(E:E, C:C, 50, D:D, "長水路")</f>
        <v>44.84</v>
      </c>
      <c r="J2" s="5">
        <f>INDEX(A:A, MATCH(_xlfn.MINIFS(E:E, D:D, "長水路"), E:E, 0))</f>
        <v>46075</v>
      </c>
      <c r="P2" s="1" t="s">
        <v>5</v>
      </c>
    </row>
    <row r="3" spans="1:16">
      <c r="A3" s="5">
        <v>45815</v>
      </c>
      <c r="B3" s="1" t="s">
        <v>15</v>
      </c>
      <c r="C3" s="1">
        <v>50</v>
      </c>
      <c r="D3" s="1" t="s">
        <v>5</v>
      </c>
      <c r="E3" s="3">
        <v>52.8</v>
      </c>
      <c r="F3" s="1" t="s">
        <v>9</v>
      </c>
      <c r="G3" s="4"/>
      <c r="P3" s="1" t="s">
        <v>6</v>
      </c>
    </row>
    <row r="4" spans="1:16">
      <c r="A4" s="5">
        <v>45823</v>
      </c>
      <c r="B4" s="1" t="s">
        <v>15</v>
      </c>
      <c r="C4" s="1">
        <v>50</v>
      </c>
      <c r="D4" s="1" t="s">
        <v>6</v>
      </c>
      <c r="E4" s="3">
        <v>51.07</v>
      </c>
      <c r="F4" s="1" t="s">
        <v>9</v>
      </c>
    </row>
    <row r="5" spans="1:16">
      <c r="A5" s="5">
        <v>45844</v>
      </c>
      <c r="B5" s="1" t="s">
        <v>15</v>
      </c>
      <c r="C5" s="1">
        <v>50</v>
      </c>
      <c r="D5" s="1" t="s">
        <v>5</v>
      </c>
      <c r="E5" s="3">
        <v>50.06</v>
      </c>
      <c r="F5" s="1" t="s">
        <v>9</v>
      </c>
      <c r="P5" s="1" t="s">
        <v>8</v>
      </c>
    </row>
    <row r="6" spans="1:16">
      <c r="A6" s="5">
        <v>45956</v>
      </c>
      <c r="B6" s="1" t="s">
        <v>15</v>
      </c>
      <c r="C6" s="1">
        <v>50</v>
      </c>
      <c r="D6" s="1" t="s">
        <v>6</v>
      </c>
      <c r="E6" s="3">
        <v>46.12</v>
      </c>
      <c r="F6" s="1" t="s">
        <v>9</v>
      </c>
      <c r="P6" s="1" t="s">
        <v>9</v>
      </c>
    </row>
    <row r="7" spans="1:16">
      <c r="A7" s="5">
        <v>45984</v>
      </c>
      <c r="B7" s="1" t="s">
        <v>15</v>
      </c>
      <c r="C7" s="1">
        <v>50</v>
      </c>
      <c r="D7" s="1" t="s">
        <v>5</v>
      </c>
      <c r="E7" s="3">
        <v>45.67</v>
      </c>
      <c r="F7" s="1" t="s">
        <v>9</v>
      </c>
    </row>
    <row r="8" spans="1:16">
      <c r="A8" s="5">
        <v>46075</v>
      </c>
      <c r="B8" s="1" t="s">
        <v>15</v>
      </c>
      <c r="C8" s="1">
        <v>50</v>
      </c>
      <c r="D8" s="1" t="s">
        <v>5</v>
      </c>
      <c r="E8" s="3">
        <v>44.84</v>
      </c>
      <c r="F8" s="1" t="s">
        <v>9</v>
      </c>
    </row>
    <row r="9" spans="1:16">
      <c r="A9" s="5">
        <v>46130</v>
      </c>
      <c r="B9" s="1" t="s">
        <v>16</v>
      </c>
      <c r="C9" s="1">
        <v>50</v>
      </c>
      <c r="D9" s="1" t="s">
        <v>6</v>
      </c>
      <c r="E9" s="3">
        <v>45.97</v>
      </c>
      <c r="F9" s="1" t="s">
        <v>8</v>
      </c>
    </row>
  </sheetData>
  <phoneticPr fontId="1"/>
  <dataValidations count="4">
    <dataValidation type="list" allowBlank="1" showInputMessage="1" showErrorMessage="1" sqref="D2:D181" xr:uid="{A0D1974E-76F6-4C26-96BD-6BDD4A3EF2A1}">
      <formula1>$P$2:$P$3</formula1>
    </dataValidation>
    <dataValidation type="list" allowBlank="1" showInputMessage="1" showErrorMessage="1" sqref="F2:F181" xr:uid="{D44369DB-353D-486F-91CA-59A4B3EF1459}">
      <formula1>$P$5:$P$6</formula1>
    </dataValidation>
    <dataValidation type="list" allowBlank="1" showInputMessage="1" showErrorMessage="1" sqref="K2:K132" xr:uid="{A8141A70-CE78-473E-B4F5-18A88C1167A5}">
      <formula1>$N$3:$N$3</formula1>
    </dataValidation>
    <dataValidation type="list" allowBlank="1" showInputMessage="1" showErrorMessage="1" sqref="M2:M181" xr:uid="{FCB95F67-729D-4CCE-803E-1D24868C7EF3}">
      <formula1>$O$5:$O$6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5340D-D996-47EB-BD33-2E94CF2465C1}">
  <dimension ref="A1:J12"/>
  <sheetViews>
    <sheetView workbookViewId="0">
      <selection activeCell="E8" sqref="E8"/>
    </sheetView>
  </sheetViews>
  <sheetFormatPr defaultColWidth="14.8984375" defaultRowHeight="14.4"/>
  <cols>
    <col min="1" max="1" width="15.796875" style="2" bestFit="1" customWidth="1"/>
    <col min="2" max="10" width="14.8984375" style="1"/>
    <col min="11" max="11" width="9.8984375" style="1" customWidth="1"/>
    <col min="12" max="16384" width="14.8984375" style="1"/>
  </cols>
  <sheetData>
    <row r="1" spans="1:10">
      <c r="A1" s="1" t="s">
        <v>10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7</v>
      </c>
    </row>
    <row r="2" spans="1:10">
      <c r="A2" s="5">
        <v>45788</v>
      </c>
      <c r="B2" s="1" t="s">
        <v>15</v>
      </c>
      <c r="C2" s="1">
        <v>50</v>
      </c>
      <c r="D2" s="1" t="s">
        <v>6</v>
      </c>
      <c r="E2" s="1">
        <v>58.87</v>
      </c>
      <c r="F2" s="1" t="s">
        <v>9</v>
      </c>
      <c r="J2" s="1" t="s">
        <v>5</v>
      </c>
    </row>
    <row r="3" spans="1:10">
      <c r="A3" s="5">
        <v>45815</v>
      </c>
      <c r="B3" s="1" t="s">
        <v>15</v>
      </c>
      <c r="C3" s="1">
        <v>50</v>
      </c>
      <c r="D3" s="1" t="s">
        <v>5</v>
      </c>
      <c r="E3" s="1">
        <v>55.01</v>
      </c>
      <c r="F3" s="1" t="s">
        <v>9</v>
      </c>
      <c r="J3" s="1" t="s">
        <v>6</v>
      </c>
    </row>
    <row r="4" spans="1:10">
      <c r="A4" s="5">
        <v>45844</v>
      </c>
      <c r="B4" s="1" t="s">
        <v>15</v>
      </c>
      <c r="C4" s="1">
        <v>50</v>
      </c>
      <c r="D4" s="1" t="s">
        <v>5</v>
      </c>
      <c r="E4" s="1">
        <v>52.08</v>
      </c>
      <c r="F4" s="1" t="s">
        <v>9</v>
      </c>
    </row>
    <row r="5" spans="1:10">
      <c r="A5" s="5">
        <v>45942</v>
      </c>
      <c r="B5" s="1" t="s">
        <v>15</v>
      </c>
      <c r="C5" s="1">
        <v>50</v>
      </c>
      <c r="D5" s="1" t="s">
        <v>5</v>
      </c>
      <c r="E5" s="1">
        <v>52.97</v>
      </c>
      <c r="F5" s="1" t="s">
        <v>9</v>
      </c>
      <c r="J5" s="1" t="s">
        <v>8</v>
      </c>
    </row>
    <row r="6" spans="1:10">
      <c r="A6" s="5">
        <v>45955</v>
      </c>
      <c r="B6" s="1" t="s">
        <v>15</v>
      </c>
      <c r="C6" s="1">
        <v>50</v>
      </c>
      <c r="D6" s="1" t="s">
        <v>6</v>
      </c>
      <c r="E6" s="1">
        <v>49.74</v>
      </c>
      <c r="F6" s="1" t="s">
        <v>9</v>
      </c>
      <c r="J6" s="1" t="s">
        <v>9</v>
      </c>
    </row>
    <row r="7" spans="1:10">
      <c r="A7" s="5">
        <v>45984</v>
      </c>
      <c r="B7" s="1" t="s">
        <v>15</v>
      </c>
      <c r="C7" s="1">
        <v>50</v>
      </c>
      <c r="D7" s="1" t="s">
        <v>5</v>
      </c>
      <c r="E7" s="1">
        <v>49.06</v>
      </c>
      <c r="F7" s="1" t="s">
        <v>9</v>
      </c>
    </row>
    <row r="8" spans="1:10">
      <c r="A8" s="5">
        <v>45984</v>
      </c>
      <c r="B8" s="1" t="s">
        <v>15</v>
      </c>
      <c r="C8" s="1">
        <v>100</v>
      </c>
      <c r="D8" s="1" t="s">
        <v>5</v>
      </c>
      <c r="E8" s="8" t="s">
        <v>21</v>
      </c>
      <c r="F8" s="1" t="s">
        <v>9</v>
      </c>
    </row>
    <row r="9" spans="1:10">
      <c r="A9" s="5">
        <v>46033</v>
      </c>
      <c r="B9" s="1" t="s">
        <v>15</v>
      </c>
      <c r="C9" s="1">
        <v>50</v>
      </c>
      <c r="D9" s="1" t="s">
        <v>6</v>
      </c>
      <c r="E9" s="1">
        <v>47.55</v>
      </c>
      <c r="F9" s="1" t="s">
        <v>9</v>
      </c>
    </row>
    <row r="10" spans="1:10">
      <c r="A10" s="5">
        <v>46053</v>
      </c>
      <c r="B10" s="1" t="s">
        <v>15</v>
      </c>
      <c r="C10" s="1">
        <v>50</v>
      </c>
      <c r="D10" s="1" t="s">
        <v>6</v>
      </c>
      <c r="E10" s="1">
        <v>46.9</v>
      </c>
      <c r="F10" s="1" t="s">
        <v>9</v>
      </c>
    </row>
    <row r="11" spans="1:10">
      <c r="A11" s="5">
        <v>46075</v>
      </c>
      <c r="B11" s="1" t="s">
        <v>15</v>
      </c>
      <c r="C11" s="1">
        <v>50</v>
      </c>
      <c r="D11" s="1" t="s">
        <v>5</v>
      </c>
      <c r="E11" s="1">
        <v>47.42</v>
      </c>
      <c r="F11" s="1" t="s">
        <v>9</v>
      </c>
    </row>
    <row r="12" spans="1:10">
      <c r="A12" s="5">
        <v>46130</v>
      </c>
      <c r="B12" s="1" t="s">
        <v>16</v>
      </c>
      <c r="C12" s="1">
        <v>50</v>
      </c>
      <c r="D12" s="1" t="s">
        <v>6</v>
      </c>
      <c r="E12" s="1">
        <v>47.95</v>
      </c>
      <c r="F12" s="1" t="s">
        <v>8</v>
      </c>
    </row>
  </sheetData>
  <phoneticPr fontId="1"/>
  <dataValidations count="3">
    <dataValidation type="list" allowBlank="1" showInputMessage="1" showErrorMessage="1" sqref="G2:G5" xr:uid="{6C89836D-404C-484C-809D-36328A3188CA}">
      <formula1>$I$5:$I$6</formula1>
    </dataValidation>
    <dataValidation type="list" allowBlank="1" showInputMessage="1" showErrorMessage="1" sqref="F2:F12" xr:uid="{3070BE14-1306-4592-8D2D-DB0E015D081F}">
      <formula1>$J$5:$J$6</formula1>
    </dataValidation>
    <dataValidation type="list" allowBlank="1" showInputMessage="1" showErrorMessage="1" sqref="D2:D180" xr:uid="{23738B7B-AE45-45BB-BCCC-23D386156810}">
      <formula1>$J$2:$J$3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3A982-8867-49C4-97F4-1F432D267E85}">
  <dimension ref="A1:Q11"/>
  <sheetViews>
    <sheetView tabSelected="1" workbookViewId="0">
      <selection activeCell="F7" sqref="F7"/>
    </sheetView>
  </sheetViews>
  <sheetFormatPr defaultColWidth="14.8984375" defaultRowHeight="14.4"/>
  <cols>
    <col min="1" max="1" width="15.796875" style="2" bestFit="1" customWidth="1"/>
    <col min="2" max="6" width="14.8984375" style="1"/>
    <col min="7" max="7" width="22.796875" style="1" customWidth="1"/>
    <col min="8" max="8" width="14.8984375" style="1"/>
    <col min="9" max="9" width="0.8984375" style="1" customWidth="1"/>
    <col min="10" max="10" width="27.09765625" style="1" customWidth="1"/>
    <col min="11" max="11" width="14.8984375" style="5"/>
    <col min="12" max="17" width="14.8984375" style="1"/>
    <col min="18" max="18" width="9.8984375" style="1" customWidth="1"/>
    <col min="19" max="16384" width="14.8984375" style="1"/>
  </cols>
  <sheetData>
    <row r="1" spans="1:17">
      <c r="A1" s="1" t="s">
        <v>10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7</v>
      </c>
      <c r="G1" s="6" t="s">
        <v>12</v>
      </c>
      <c r="H1" s="6" t="s">
        <v>11</v>
      </c>
      <c r="J1" s="6" t="s">
        <v>13</v>
      </c>
      <c r="K1" s="6" t="s">
        <v>11</v>
      </c>
    </row>
    <row r="2" spans="1:17">
      <c r="A2" s="5">
        <v>45788</v>
      </c>
      <c r="B2" s="1" t="s">
        <v>15</v>
      </c>
      <c r="C2" s="1">
        <v>50</v>
      </c>
      <c r="D2" s="1" t="s">
        <v>6</v>
      </c>
      <c r="E2" s="1">
        <v>47.91</v>
      </c>
      <c r="F2" s="1" t="s">
        <v>9</v>
      </c>
      <c r="G2" s="1">
        <f>_xlfn.MINIFS(E:E, C:C, 50, D:D, "短水路")</f>
        <v>38.24</v>
      </c>
      <c r="H2" s="5">
        <f>INDEX(A:A, MATCH(_xlfn.MINIFS(E:E, D:D, "短水路"), E:E, 0))</f>
        <v>46053</v>
      </c>
      <c r="I2" s="5"/>
      <c r="J2" s="1">
        <f>_xlfn.MINIFS(E:E, C:C, 50, D:D, "長水路")</f>
        <v>37.729999999999997</v>
      </c>
      <c r="K2" s="5">
        <f>INDEX(A:A, MATCH(_xlfn.MINIFS(E:E, D:D, "長水路"), E:E, 0))</f>
        <v>46074</v>
      </c>
      <c r="Q2" s="1" t="s">
        <v>5</v>
      </c>
    </row>
    <row r="3" spans="1:17">
      <c r="A3" s="5">
        <v>45816</v>
      </c>
      <c r="B3" s="1" t="s">
        <v>15</v>
      </c>
      <c r="C3" s="1">
        <v>50</v>
      </c>
      <c r="D3" s="1" t="s">
        <v>5</v>
      </c>
      <c r="E3" s="1">
        <v>47.54</v>
      </c>
      <c r="F3" s="1" t="s">
        <v>9</v>
      </c>
      <c r="G3" s="4"/>
      <c r="Q3" s="1" t="s">
        <v>6</v>
      </c>
    </row>
    <row r="4" spans="1:17">
      <c r="A4" s="5">
        <v>45823</v>
      </c>
      <c r="B4" s="1" t="s">
        <v>15</v>
      </c>
      <c r="C4" s="1">
        <v>50</v>
      </c>
      <c r="D4" s="1" t="s">
        <v>6</v>
      </c>
      <c r="E4" s="1">
        <v>44.48</v>
      </c>
      <c r="F4" s="1" t="s">
        <v>9</v>
      </c>
    </row>
    <row r="5" spans="1:17">
      <c r="A5" s="5">
        <v>45844</v>
      </c>
      <c r="B5" s="1" t="s">
        <v>15</v>
      </c>
      <c r="C5" s="1">
        <v>50</v>
      </c>
      <c r="D5" s="1" t="s">
        <v>5</v>
      </c>
      <c r="E5" s="1">
        <v>44.39</v>
      </c>
      <c r="F5" s="1" t="s">
        <v>9</v>
      </c>
      <c r="Q5" s="1" t="s">
        <v>8</v>
      </c>
    </row>
    <row r="6" spans="1:17">
      <c r="A6" s="5">
        <v>45942</v>
      </c>
      <c r="B6" s="1" t="s">
        <v>15</v>
      </c>
      <c r="C6" s="1">
        <v>50</v>
      </c>
      <c r="D6" s="1" t="s">
        <v>5</v>
      </c>
      <c r="E6" s="1">
        <v>40.39</v>
      </c>
      <c r="F6" s="1" t="s">
        <v>9</v>
      </c>
      <c r="Q6" s="1" t="s">
        <v>9</v>
      </c>
    </row>
    <row r="7" spans="1:17">
      <c r="A7" s="5">
        <v>45955</v>
      </c>
      <c r="B7" s="1" t="s">
        <v>15</v>
      </c>
      <c r="C7" s="1">
        <v>50</v>
      </c>
      <c r="D7" s="1" t="s">
        <v>6</v>
      </c>
      <c r="E7" s="1">
        <v>40.5</v>
      </c>
      <c r="F7" s="1" t="s">
        <v>9</v>
      </c>
    </row>
    <row r="8" spans="1:17">
      <c r="A8" s="5">
        <v>46033</v>
      </c>
      <c r="B8" s="1" t="s">
        <v>15</v>
      </c>
      <c r="C8" s="1">
        <v>50</v>
      </c>
      <c r="D8" s="1" t="s">
        <v>6</v>
      </c>
      <c r="E8" s="1">
        <v>39.07</v>
      </c>
      <c r="F8" s="1" t="s">
        <v>9</v>
      </c>
    </row>
    <row r="9" spans="1:17">
      <c r="A9" s="5">
        <v>46053</v>
      </c>
      <c r="B9" s="1" t="s">
        <v>15</v>
      </c>
      <c r="C9" s="1">
        <v>50</v>
      </c>
      <c r="D9" s="1" t="s">
        <v>6</v>
      </c>
      <c r="E9" s="1">
        <v>38.24</v>
      </c>
      <c r="F9" s="1" t="s">
        <v>9</v>
      </c>
    </row>
    <row r="10" spans="1:17">
      <c r="A10" s="5">
        <v>46074</v>
      </c>
      <c r="B10" s="1" t="s">
        <v>15</v>
      </c>
      <c r="C10" s="1">
        <v>50</v>
      </c>
      <c r="D10" s="1" t="s">
        <v>5</v>
      </c>
      <c r="E10" s="1">
        <v>37.729999999999997</v>
      </c>
      <c r="F10" s="1" t="s">
        <v>9</v>
      </c>
    </row>
    <row r="11" spans="1:17">
      <c r="A11" s="5">
        <v>46130</v>
      </c>
      <c r="B11" s="1" t="s">
        <v>16</v>
      </c>
      <c r="C11" s="1">
        <v>50</v>
      </c>
      <c r="D11" s="1" t="s">
        <v>6</v>
      </c>
      <c r="E11" s="1">
        <v>40.28</v>
      </c>
      <c r="F11" s="1" t="s">
        <v>8</v>
      </c>
    </row>
  </sheetData>
  <phoneticPr fontId="1"/>
  <dataValidations count="4">
    <dataValidation type="list" allowBlank="1" showInputMessage="1" showErrorMessage="1" sqref="D2:D180" xr:uid="{687B6D51-78BF-4A11-9317-C88D080045F4}">
      <formula1>$Q$2:$Q$3</formula1>
    </dataValidation>
    <dataValidation type="list" allowBlank="1" showInputMessage="1" showErrorMessage="1" sqref="F2:F11" xr:uid="{9BCCE382-09BB-41D4-AD6D-65D388D14EF6}">
      <formula1>$Q$5:$Q$6</formula1>
    </dataValidation>
    <dataValidation type="list" allowBlank="1" showInputMessage="1" showErrorMessage="1" sqref="L2:L132" xr:uid="{93D0D62C-F3DC-4282-A44B-2C64E9869899}">
      <formula1>$O$3:$O$3</formula1>
    </dataValidation>
    <dataValidation type="list" allowBlank="1" showInputMessage="1" showErrorMessage="1" sqref="N2:N5" xr:uid="{872EA0EB-9AE8-4CC3-97B7-7EAA24284884}">
      <formula1>$P$5:$P$6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3145A-20C7-4E83-AE6C-04CD541B3421}">
  <dimension ref="A1:I6"/>
  <sheetViews>
    <sheetView workbookViewId="0">
      <selection activeCell="E3" sqref="E3"/>
    </sheetView>
  </sheetViews>
  <sheetFormatPr defaultColWidth="14.8984375" defaultRowHeight="14.4"/>
  <cols>
    <col min="1" max="1" width="15.796875" style="2" bestFit="1" customWidth="1"/>
    <col min="2" max="16384" width="14.8984375" style="1"/>
  </cols>
  <sheetData>
    <row r="1" spans="1:9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7</v>
      </c>
    </row>
    <row r="2" spans="1:9">
      <c r="A2" s="7">
        <v>45710</v>
      </c>
      <c r="B2" s="1" t="s">
        <v>14</v>
      </c>
      <c r="C2" s="1">
        <v>200</v>
      </c>
      <c r="D2" s="1" t="s">
        <v>6</v>
      </c>
      <c r="E2" s="8" t="s">
        <v>22</v>
      </c>
      <c r="F2" s="1" t="s">
        <v>8</v>
      </c>
      <c r="I2" s="1" t="s">
        <v>5</v>
      </c>
    </row>
    <row r="3" spans="1:9">
      <c r="A3" s="7">
        <v>45808</v>
      </c>
      <c r="B3" s="1" t="s">
        <v>15</v>
      </c>
      <c r="C3" s="1">
        <v>200</v>
      </c>
      <c r="D3" s="1" t="s">
        <v>6</v>
      </c>
      <c r="E3" s="8" t="s">
        <v>17</v>
      </c>
      <c r="F3" s="1" t="s">
        <v>8</v>
      </c>
      <c r="I3" s="1" t="s">
        <v>6</v>
      </c>
    </row>
    <row r="4" spans="1:9">
      <c r="A4" s="7">
        <v>45899</v>
      </c>
      <c r="B4" s="1" t="s">
        <v>15</v>
      </c>
      <c r="C4" s="1">
        <v>200</v>
      </c>
      <c r="D4" s="1" t="s">
        <v>6</v>
      </c>
      <c r="E4" s="8" t="s">
        <v>18</v>
      </c>
      <c r="F4" s="1" t="s">
        <v>8</v>
      </c>
    </row>
    <row r="5" spans="1:9">
      <c r="A5" s="7">
        <v>45991</v>
      </c>
      <c r="B5" s="1" t="s">
        <v>15</v>
      </c>
      <c r="C5" s="1">
        <v>200</v>
      </c>
      <c r="D5" s="1" t="s">
        <v>6</v>
      </c>
      <c r="E5" s="8" t="s">
        <v>19</v>
      </c>
      <c r="F5" s="1" t="s">
        <v>8</v>
      </c>
      <c r="I5" s="1" t="s">
        <v>8</v>
      </c>
    </row>
    <row r="6" spans="1:9">
      <c r="A6" s="7">
        <v>46081</v>
      </c>
      <c r="B6" s="1" t="s">
        <v>15</v>
      </c>
      <c r="C6" s="1">
        <v>200</v>
      </c>
      <c r="D6" s="1" t="s">
        <v>6</v>
      </c>
      <c r="E6" s="8" t="s">
        <v>20</v>
      </c>
      <c r="F6" s="1" t="s">
        <v>8</v>
      </c>
      <c r="I6" s="1" t="s">
        <v>9</v>
      </c>
    </row>
  </sheetData>
  <phoneticPr fontId="1"/>
  <dataValidations count="2">
    <dataValidation type="list" allowBlank="1" showInputMessage="1" showErrorMessage="1" sqref="D2:D181 E7:E181" xr:uid="{FCD6C6B0-9EE2-40C6-BADA-61DB1F834B29}">
      <formula1>$I$2:$I$3</formula1>
    </dataValidation>
    <dataValidation type="list" allowBlank="1" showInputMessage="1" showErrorMessage="1" sqref="F2:H20" xr:uid="{4F3B2A47-C23A-4C80-87FE-9C03E8B410ED}">
      <formula1>$I$5:$I$6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バッタ</vt:lpstr>
      <vt:lpstr>バック</vt:lpstr>
      <vt:lpstr>ブレ</vt:lpstr>
      <vt:lpstr>フリー</vt:lpstr>
      <vt:lpstr>メドレー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shimo</dc:creator>
  <cp:lastModifiedBy>敏也 下田</cp:lastModifiedBy>
  <dcterms:created xsi:type="dcterms:W3CDTF">2015-06-05T18:19:34Z</dcterms:created>
  <dcterms:modified xsi:type="dcterms:W3CDTF">2026-04-25T22:07:00Z</dcterms:modified>
</cp:coreProperties>
</file>